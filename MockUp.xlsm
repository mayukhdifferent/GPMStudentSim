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barkerp\Documents\GitHub\G200-SG\"/>
    </mc:Choice>
  </mc:AlternateContent>
  <xr:revisionPtr revIDLastSave="0" documentId="13_ncr:1_{F670DA28-3B55-4C96-9CED-F9A870294363}" xr6:coauthVersionLast="36" xr6:coauthVersionMax="45" xr10:uidLastSave="{00000000-0000-0000-0000-000000000000}"/>
  <bookViews>
    <workbookView xWindow="105" yWindow="465" windowWidth="23535" windowHeight="17535" activeTab="1" xr2:uid="{2D6655EF-CECA-40CD-B9B4-12406B40AC0D}"/>
  </bookViews>
  <sheets>
    <sheet name="Sheet 1" sheetId="1" r:id="rId1"/>
    <sheet name="Sheet 2" sheetId="2" r:id="rId2"/>
    <sheet name="Sheet 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2" l="1"/>
  <c r="L15" i="2"/>
  <c r="K15" i="2"/>
  <c r="J15" i="2"/>
  <c r="I15" i="2"/>
  <c r="H15" i="2"/>
  <c r="G15" i="2"/>
  <c r="F15" i="2"/>
  <c r="M13" i="2"/>
  <c r="L13" i="2"/>
  <c r="K13" i="2"/>
  <c r="J13" i="2"/>
  <c r="I13" i="2"/>
  <c r="H13" i="2"/>
  <c r="G13" i="2"/>
  <c r="F13" i="2"/>
  <c r="M11" i="2"/>
  <c r="L11" i="2"/>
  <c r="K11" i="2"/>
  <c r="J11" i="2"/>
  <c r="I11" i="2"/>
  <c r="H11" i="2"/>
  <c r="G11" i="2"/>
  <c r="F11" i="2"/>
  <c r="M9" i="2"/>
  <c r="L9" i="2"/>
  <c r="K9" i="2"/>
  <c r="J9" i="2"/>
  <c r="I9" i="2"/>
  <c r="H9" i="2"/>
  <c r="G9" i="2"/>
  <c r="F9" i="2"/>
  <c r="M7" i="2"/>
  <c r="L7" i="2"/>
  <c r="K7" i="2"/>
  <c r="J7" i="2"/>
  <c r="I7" i="2"/>
  <c r="H7" i="2"/>
  <c r="G7" i="2"/>
  <c r="F7" i="2"/>
  <c r="M5" i="2"/>
  <c r="L5" i="2"/>
  <c r="K5" i="2"/>
  <c r="J5" i="2"/>
  <c r="I5" i="2"/>
  <c r="H5" i="2"/>
  <c r="G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4662BA10-9C75-4794-8324-F3CB0E4146E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9A5891CE-043B-45FA-9DEE-8AA39F4171D6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A1BAF111-439A-4488-955C-B2CB2B029FC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sleep cell takes 1 time point</t>
        </r>
      </text>
    </comment>
    <comment ref="B6" authorId="1" shapeId="0" xr:uid="{67A9698C-2A3C-437C-91C4-39D2704045B5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699CE183-DAB3-4F50-ABB6-37223D58F29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7CBCF74E-79F5-4AFB-9A6C-EA6D74B265E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food cell takes some money!</t>
        </r>
      </text>
    </comment>
    <comment ref="B9" authorId="1" shapeId="0" xr:uid="{51CBCA0D-7707-4B14-9385-063A87363A6C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If you run out of health, you die. </t>
        </r>
      </text>
    </comment>
    <comment ref="E9" authorId="0" shapeId="0" xr:uid="{96C59320-0644-4D76-820C-08822F6E3EF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classwork cell takes time and energy!</t>
        </r>
      </text>
    </comment>
    <comment ref="B10" authorId="1" shapeId="0" xr:uid="{36D8C739-C8E9-49EF-9628-6ACF6F93559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99BC5E05-C289-4521-8DE9-C9FC879AE2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A01AE6AD-3AC0-4DED-AE8B-6ADAD0A9491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networking cell takes time and energy!</t>
        </r>
      </text>
    </comment>
    <comment ref="B12" authorId="1" shapeId="0" xr:uid="{08BB9F57-5172-466C-A18E-AD11F1BE5D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053C4C74-30FD-4B85-807C-DF62F84756A1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E13" authorId="0" shapeId="0" xr:uid="{622B6986-2F71-4F53-9BC3-5DFB831D359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E15" authorId="0" shapeId="0" xr:uid="{06AAA0B7-26B1-400E-8342-24F7AE67CF7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work cell takes time and energy but increases money!</t>
        </r>
      </text>
    </comment>
    <comment ref="B16" authorId="0" shapeId="0" xr:uid="{8E417EB7-9AD1-440D-960F-BB6F11C33D0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Due date uncertain: Extra stress for low performance this week!</t>
        </r>
      </text>
    </comment>
    <comment ref="B17" authorId="0" shapeId="0" xr:uid="{F41E5249-8072-4D5D-8A06-6871AF8D19AE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Can't sleep due to stress! No more than 3 sleep allocation allowed this week. </t>
        </r>
      </text>
    </comment>
    <comment ref="E17" authorId="0" shapeId="0" xr:uid="{951FEA17-1B5A-49F0-8C6A-84906CAD634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Social takes time and energy but lowers stress and slightly improves prospects!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7A0B0DE1-7F50-714B-91FE-B0C0566F28D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Shows the current week. There are 5 quarters, each with 10 weeks. </t>
        </r>
      </text>
    </comment>
    <comment ref="B5" authorId="1" shapeId="0" xr:uid="{AE15121B-D174-EC40-BC78-8BD40C19C6AF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Same each day -- cannot exceed total alloted time</t>
        </r>
      </text>
    </comment>
    <comment ref="E5" authorId="0" shapeId="0" xr:uid="{CD2BD3A2-7ACB-8146-8014-B866572DFECB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sleep cell takes 1 time point</t>
        </r>
      </text>
    </comment>
    <comment ref="B6" authorId="1" shapeId="0" xr:uid="{18DC6B48-372F-AB45-BDEF-D862AC1090FD}">
      <text>
        <r>
          <rPr>
            <b/>
            <sz val="9"/>
            <color rgb="FF000000"/>
            <rFont val="Tahoma"/>
            <family val="2"/>
          </rPr>
          <t xml:space="preserve">Tooltip:
</t>
        </r>
        <r>
          <rPr>
            <sz val="9"/>
            <color rgb="FF000000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3E7E4E0C-0EB7-0546-A8DF-59C67AAF5412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Amount of cold hard case remaining. Make sure you don't run out or you'll starve!</t>
        </r>
      </text>
    </comment>
    <comment ref="E7" authorId="0" shapeId="0" xr:uid="{1F7EA776-3435-B24A-A5C5-8F5E13DAC7BA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food cell takes some money!</t>
        </r>
      </text>
    </comment>
    <comment ref="B9" authorId="1" shapeId="0" xr:uid="{5A9FCD87-4414-8240-8B21-00303BFFA61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you run out of health, you die. </t>
        </r>
      </text>
    </comment>
    <comment ref="E9" authorId="0" shapeId="0" xr:uid="{574A1BA7-E6DC-0A43-8A9E-586EF6B9745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classwork cell takes time and energy!</t>
        </r>
      </text>
    </comment>
    <comment ref="B10" authorId="1" shapeId="0" xr:uid="{072227DE-2BD7-4743-8A56-77498A82B545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Stress level correlates to AP for next week. Higher stress means fewer T/E points</t>
        </r>
      </text>
    </comment>
    <comment ref="B11" authorId="1" shapeId="0" xr:uid="{E015EF09-3069-A146-98E9-38312763DB5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D2FD0137-BAF1-D241-8155-325A8810454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networking cell takes time and energy!</t>
        </r>
      </text>
    </comment>
    <comment ref="B12" authorId="1" shapeId="0" xr:uid="{481ED109-F6AE-E34D-8F61-0DBADFA5E153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B13" authorId="1" shapeId="0" xr:uid="{5578B03E-AD39-A449-9463-484394CF6391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E13" authorId="0" shapeId="0" xr:uid="{0868A4FB-3AB9-4143-96C1-68D70C8B030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relaxation cell takes time but decreases stress!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Natasha Ratzlaff</author>
  </authors>
  <commentList>
    <comment ref="C2" authorId="0" shapeId="0" xr:uid="{712E0E17-981E-BC43-920E-7FDF7CA09BE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money is earned per work unit</t>
        </r>
      </text>
    </comment>
    <comment ref="I5" authorId="0" shapeId="0" xr:uid="{5F5CA910-B887-C244-ADA3-E675CD4350B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C7" authorId="0" shapeId="0" xr:uid="{7767CD11-80B5-FA43-83D5-169A780FADC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energy is earned per sleep unit</t>
        </r>
      </text>
    </comment>
    <comment ref="D7" authorId="0" shapeId="0" xr:uid="{F1B09303-EBAC-0A45-96E2-367C50DFD5A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sleep</t>
        </r>
      </text>
    </comment>
    <comment ref="E7" authorId="0" shapeId="0" xr:uid="{ABEB6703-80CC-C844-8C8E-AFAE151840A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7" authorId="0" shapeId="0" xr:uid="{36708AD9-97CB-1246-8013-A9639A28FCC9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7" authorId="0" shapeId="0" xr:uid="{3B080D33-5F1A-644A-9146-B921E7A032C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I7" authorId="0" shapeId="0" xr:uid="{55D05DE2-35C3-D445-AAEC-467C794FC19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F9" authorId="0" shapeId="0" xr:uid="{3CFE1A02-BB89-234B-8286-FA0346D66D7A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9" authorId="0" shapeId="0" xr:uid="{2DE3A170-19F3-4849-ADA1-DEA933CB822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2" authorId="0" shapeId="0" xr:uid="{3AB08E2E-82F6-CE46-B447-B12C72790D3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food costs
</t>
        </r>
      </text>
    </comment>
    <comment ref="D12" authorId="0" shapeId="0" xr:uid="{4A5D5BBE-9946-924C-83EB-C5520DEE8FD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food</t>
        </r>
      </text>
    </comment>
    <comment ref="E12" authorId="0" shapeId="0" xr:uid="{0C5991A0-670C-0143-88E1-ABDF99979C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food unit</t>
        </r>
      </text>
    </comment>
    <comment ref="F12" authorId="0" shapeId="0" xr:uid="{F9DAD652-133D-1241-A091-F9420F57BA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12" authorId="0" shapeId="0" xr:uid="{C8ACE988-0D84-C64F-9E07-8B803B4BCD02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14" authorId="0" shapeId="0" xr:uid="{FAD2297E-13ED-8346-BD8E-5F0746553DE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14" authorId="0" shapeId="0" xr:uid="{2D79BEF7-9D35-3A43-951D-C98B33A1CF9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7" authorId="0" shapeId="0" xr:uid="{62D0C769-5425-9F45-B269-14D5E3409EA5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prospects is determined</t>
        </r>
      </text>
    </comment>
    <comment ref="I19" authorId="0" shapeId="0" xr:uid="{12DB74DE-F4F8-CA4A-B95C-24D6C6BBCD6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Amount of debt needed to payoff to get destress buff</t>
        </r>
      </text>
    </comment>
    <comment ref="C24" authorId="0" shapeId="0" xr:uid="{3F2A9A11-C60F-C947-AEDA-745740C8B06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D24" authorId="0" shapeId="0" xr:uid="{271DCBBD-F85C-CF4F-8DB1-DB03FFE8ACEC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C26" authorId="0" shapeId="0" xr:uid="{DD848851-8FFC-1A42-9121-8D88A755833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each friend unit relieves stress
</t>
        </r>
      </text>
    </comment>
  </commentList>
</comments>
</file>

<file path=xl/sharedStrings.xml><?xml version="1.0" encoding="utf-8"?>
<sst xmlns="http://schemas.openxmlformats.org/spreadsheetml/2006/main" count="116" uniqueCount="95">
  <si>
    <t>WEEK</t>
  </si>
  <si>
    <t>Health</t>
  </si>
  <si>
    <t>Debt</t>
  </si>
  <si>
    <t>Stress</t>
  </si>
  <si>
    <t>Performance</t>
  </si>
  <si>
    <t>Energy</t>
  </si>
  <si>
    <t>Time (h)</t>
  </si>
  <si>
    <t xml:space="preserve">Money ($) </t>
  </si>
  <si>
    <t>A+</t>
  </si>
  <si>
    <t>Sims: Existential Edition</t>
  </si>
  <si>
    <t>Events</t>
  </si>
  <si>
    <t>Assign points for next week:</t>
  </si>
  <si>
    <t>Sleep</t>
  </si>
  <si>
    <t>Food</t>
  </si>
  <si>
    <t>Classwork</t>
  </si>
  <si>
    <t>Networking</t>
  </si>
  <si>
    <t>Prospects</t>
  </si>
  <si>
    <t>Poor</t>
  </si>
  <si>
    <t>Relaxation</t>
  </si>
  <si>
    <t>Work</t>
  </si>
  <si>
    <t>Dev Notes:</t>
  </si>
  <si>
    <t>in the last quarter, final projects are due soon and the</t>
  </si>
  <si>
    <t>amount of necessary classwork increases</t>
  </si>
  <si>
    <t>allow debt to rise if player runs out of money?</t>
  </si>
  <si>
    <t>need to come up with some events</t>
  </si>
  <si>
    <t>health-correlated expenses?</t>
  </si>
  <si>
    <t>Social</t>
  </si>
  <si>
    <t>if social too low -&gt; performance suffers (group projects)</t>
  </si>
  <si>
    <t>Pong?</t>
  </si>
  <si>
    <t>friend asks you for help -&gt; improve social at time cost?</t>
  </si>
  <si>
    <t>Insomnia</t>
  </si>
  <si>
    <t>(PH)</t>
  </si>
  <si>
    <t>Exercise</t>
  </si>
  <si>
    <t>AP:</t>
  </si>
  <si>
    <t>Friends</t>
  </si>
  <si>
    <t>Money earned:</t>
  </si>
  <si>
    <t>TOTAL</t>
  </si>
  <si>
    <t>Money/Work Unit</t>
  </si>
  <si>
    <t>Energy/Sleep Unit</t>
  </si>
  <si>
    <t>Grade</t>
  </si>
  <si>
    <t>A</t>
  </si>
  <si>
    <t>A-</t>
  </si>
  <si>
    <t>B+</t>
  </si>
  <si>
    <t>B</t>
  </si>
  <si>
    <t>B-</t>
  </si>
  <si>
    <t>C+</t>
  </si>
  <si>
    <t>C</t>
  </si>
  <si>
    <t>C-</t>
  </si>
  <si>
    <t>D</t>
  </si>
  <si>
    <t>F</t>
  </si>
  <si>
    <t>D+</t>
  </si>
  <si>
    <t>D-</t>
  </si>
  <si>
    <t>Money/Food Unit</t>
  </si>
  <si>
    <t>WORK</t>
  </si>
  <si>
    <t>Average/Time</t>
  </si>
  <si>
    <t>Past Week</t>
  </si>
  <si>
    <t>CLASSWORK</t>
  </si>
  <si>
    <t>Okay</t>
  </si>
  <si>
    <t>Mediocre</t>
  </si>
  <si>
    <t>Good</t>
  </si>
  <si>
    <t>Great</t>
  </si>
  <si>
    <t>Range Min</t>
  </si>
  <si>
    <t>Range Max</t>
  </si>
  <si>
    <t>Amazing</t>
  </si>
  <si>
    <t>Prospect Performance</t>
  </si>
  <si>
    <t>FRIENDS</t>
  </si>
  <si>
    <t>Prospect/Friend Unit</t>
  </si>
  <si>
    <t>Destress/Friend Unit</t>
  </si>
  <si>
    <t>Stress/Sleep Unit</t>
  </si>
  <si>
    <t>Health/Sleep Unit</t>
  </si>
  <si>
    <t>Threshold for Missing Sleep</t>
  </si>
  <si>
    <t>Threshold for Missing Food</t>
  </si>
  <si>
    <t>Inadquate Sleep Stress/Health Multiplier</t>
  </si>
  <si>
    <t>Weeks with Inadequate Sleep</t>
  </si>
  <si>
    <t>Weeks with Inadequate Sleep Threshold</t>
  </si>
  <si>
    <t>Weeks with Inadequate Food Threshold</t>
  </si>
  <si>
    <t>Days with inadequate Food</t>
  </si>
  <si>
    <t>Inadquate Food Stress/Health Multiplier</t>
  </si>
  <si>
    <t>Current Prospects</t>
  </si>
  <si>
    <t>SLEEP</t>
  </si>
  <si>
    <t>FOOD</t>
  </si>
  <si>
    <t>Pay off Debt</t>
  </si>
  <si>
    <t>Stress/Work Unit</t>
  </si>
  <si>
    <t>Stress/Class Unit</t>
  </si>
  <si>
    <t>Stress/Miss. Food Unit</t>
  </si>
  <si>
    <t>Health/Miss. Food Unit</t>
  </si>
  <si>
    <t>Overtime Bonus</t>
  </si>
  <si>
    <t>Debt Threshold to Destress</t>
  </si>
  <si>
    <t>Destress Amount</t>
  </si>
  <si>
    <t>DEBT</t>
  </si>
  <si>
    <t>Enter Amount</t>
  </si>
  <si>
    <t>GPM Student Simulator</t>
  </si>
  <si>
    <t>v1.0</t>
  </si>
  <si>
    <t>START MONEY</t>
  </si>
  <si>
    <t>START 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</si>
</sst>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rial Black"/>
      <family val="2"/>
    </font>
    <font>
      <sz val="14"/>
      <color rgb="FF006100"/>
      <name val="Arial Black"/>
      <family val="2"/>
    </font>
    <font>
      <sz val="14"/>
      <color rgb="FF9C0006"/>
      <name val="Arial Black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rgb="FF000000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49">
    <xf numFmtId="0" fontId="0" fillId="0" borderId="0" xfId="0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44" fontId="6" fillId="0" borderId="11" xfId="1" applyFont="1" applyBorder="1"/>
    <xf numFmtId="0" fontId="7" fillId="2" borderId="7" xfId="2" applyFont="1" applyBorder="1"/>
    <xf numFmtId="0" fontId="7" fillId="2" borderId="9" xfId="2" applyFont="1" applyBorder="1"/>
    <xf numFmtId="0" fontId="6" fillId="0" borderId="12" xfId="0" applyFont="1" applyBorder="1"/>
    <xf numFmtId="0" fontId="6" fillId="0" borderId="13" xfId="1" applyNumberFormat="1" applyFont="1" applyBorder="1"/>
    <xf numFmtId="44" fontId="6" fillId="0" borderId="9" xfId="1" applyFont="1" applyBorder="1"/>
    <xf numFmtId="0" fontId="6" fillId="0" borderId="1" xfId="0" applyFont="1" applyBorder="1"/>
    <xf numFmtId="0" fontId="6" fillId="0" borderId="13" xfId="0" applyFont="1" applyBorder="1"/>
    <xf numFmtId="0" fontId="7" fillId="2" borderId="14" xfId="2" applyFont="1" applyBorder="1"/>
    <xf numFmtId="0" fontId="7" fillId="2" borderId="12" xfId="2" applyFont="1" applyBorder="1"/>
    <xf numFmtId="0" fontId="7" fillId="2" borderId="9" xfId="2" applyFont="1" applyBorder="1" applyAlignment="1">
      <alignment horizontal="right"/>
    </xf>
    <xf numFmtId="0" fontId="8" fillId="3" borderId="9" xfId="3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Border="1"/>
    <xf numFmtId="0" fontId="2" fillId="2" borderId="14" xfId="2" applyBorder="1"/>
    <xf numFmtId="0" fontId="7" fillId="0" borderId="12" xfId="2" applyFont="1" applyFill="1" applyBorder="1"/>
    <xf numFmtId="0" fontId="7" fillId="0" borderId="14" xfId="2" applyFont="1" applyFill="1" applyBorder="1"/>
    <xf numFmtId="7" fontId="6" fillId="0" borderId="11" xfId="1" applyNumberFormat="1" applyFont="1" applyBorder="1"/>
    <xf numFmtId="0" fontId="13" fillId="0" borderId="0" xfId="0" applyFont="1"/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wrapText="1"/>
    </xf>
    <xf numFmtId="7" fontId="6" fillId="0" borderId="9" xfId="1" applyNumberFormat="1" applyFont="1" applyBorder="1"/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6" fontId="6" fillId="0" borderId="0" xfId="0" applyNumberFormat="1" applyFont="1"/>
    <xf numFmtId="7" fontId="13" fillId="0" borderId="1" xfId="0" applyNumberFormat="1" applyFont="1" applyBorder="1" applyAlignment="1">
      <alignment vertical="center"/>
    </xf>
    <xf numFmtId="6" fontId="6" fillId="0" borderId="12" xfId="0" applyNumberFormat="1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3" xfId="0" applyFont="1" applyBorder="1" applyAlignment="1">
      <alignment horizontal="right"/>
    </xf>
    <xf numFmtId="0" fontId="6" fillId="0" borderId="11" xfId="0" applyFont="1" applyBorder="1" applyAlignment="1">
      <alignment horizontal="right"/>
    </xf>
  </cellXfs>
  <cellStyles count="4">
    <cellStyle name="Bad" xfId="3" builtinId="27"/>
    <cellStyle name="Currency" xfId="1" builtinId="4"/>
    <cellStyle name="Good" xfId="2" builtinId="26"/>
    <cellStyle name="Normal" xfId="0" builtinId="0"/>
  </cellStyles>
  <dxfs count="20">
    <dxf>
      <font>
        <color theme="0"/>
      </font>
    </dxf>
    <dxf>
      <font>
        <color theme="0" tint="-0.34998626667073579"/>
      </font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8585"/>
      <color rgb="FFEFB5A7"/>
      <color rgb="FFEFD0B4"/>
      <color rgb="FFEFE6B5"/>
      <color rgb="FFE1EFB6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371475</xdr:colOff>
          <xdr:row>3</xdr:row>
          <xdr:rowOff>266700</xdr:rowOff>
        </xdr:from>
        <xdr:to>
          <xdr:col>14</xdr:col>
          <xdr:colOff>685800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</xdr:row>
          <xdr:rowOff>266700</xdr:rowOff>
        </xdr:from>
        <xdr:to>
          <xdr:col>14</xdr:col>
          <xdr:colOff>371475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5</xdr:row>
          <xdr:rowOff>266700</xdr:rowOff>
        </xdr:from>
        <xdr:to>
          <xdr:col>14</xdr:col>
          <xdr:colOff>676275</xdr:colOff>
          <xdr:row>7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266700</xdr:rowOff>
        </xdr:from>
        <xdr:to>
          <xdr:col>14</xdr:col>
          <xdr:colOff>352425</xdr:colOff>
          <xdr:row>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14</xdr:col>
          <xdr:colOff>676275</xdr:colOff>
          <xdr:row>9</xdr:row>
          <xdr:rowOff>9525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0</xdr:rowOff>
        </xdr:from>
        <xdr:to>
          <xdr:col>14</xdr:col>
          <xdr:colOff>352425</xdr:colOff>
          <xdr:row>9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10</xdr:row>
          <xdr:rowOff>0</xdr:rowOff>
        </xdr:from>
        <xdr:to>
          <xdr:col>14</xdr:col>
          <xdr:colOff>676275</xdr:colOff>
          <xdr:row>11</xdr:row>
          <xdr:rowOff>9525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0</xdr:rowOff>
        </xdr:from>
        <xdr:to>
          <xdr:col>14</xdr:col>
          <xdr:colOff>352425</xdr:colOff>
          <xdr:row>11</xdr:row>
          <xdr:rowOff>9525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11</xdr:row>
          <xdr:rowOff>266700</xdr:rowOff>
        </xdr:from>
        <xdr:to>
          <xdr:col>14</xdr:col>
          <xdr:colOff>676275</xdr:colOff>
          <xdr:row>13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11</xdr:row>
          <xdr:rowOff>266700</xdr:rowOff>
        </xdr:from>
        <xdr:to>
          <xdr:col>14</xdr:col>
          <xdr:colOff>352425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14</xdr:row>
          <xdr:rowOff>0</xdr:rowOff>
        </xdr:from>
        <xdr:to>
          <xdr:col>14</xdr:col>
          <xdr:colOff>676275</xdr:colOff>
          <xdr:row>15</xdr:row>
          <xdr:rowOff>9525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14</xdr:row>
          <xdr:rowOff>0</xdr:rowOff>
        </xdr:from>
        <xdr:to>
          <xdr:col>14</xdr:col>
          <xdr:colOff>352425</xdr:colOff>
          <xdr:row>15</xdr:row>
          <xdr:rowOff>9525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</xdr:row>
          <xdr:rowOff>0</xdr:rowOff>
        </xdr:from>
        <xdr:to>
          <xdr:col>15</xdr:col>
          <xdr:colOff>9525</xdr:colOff>
          <xdr:row>3</xdr:row>
          <xdr:rowOff>28575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257175</xdr:colOff>
          <xdr:row>15</xdr:row>
          <xdr:rowOff>238125</xdr:rowOff>
        </xdr:from>
        <xdr:to>
          <xdr:col>15</xdr:col>
          <xdr:colOff>381000</xdr:colOff>
          <xdr:row>17</xdr:row>
          <xdr:rowOff>66675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22</xdr:row>
          <xdr:rowOff>85725</xdr:rowOff>
        </xdr:from>
        <xdr:to>
          <xdr:col>2</xdr:col>
          <xdr:colOff>723900</xdr:colOff>
          <xdr:row>23</xdr:row>
          <xdr:rowOff>200025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904C-9ABD-414F-A2CE-3CD61CE9950F}">
  <sheetPr codeName="Sheet1"/>
  <dimension ref="B1:P21"/>
  <sheetViews>
    <sheetView workbookViewId="0"/>
  </sheetViews>
  <sheetFormatPr defaultColWidth="9.140625" defaultRowHeight="22.5" x14ac:dyDescent="0.45"/>
  <cols>
    <col min="1" max="1" width="9.140625" style="1"/>
    <col min="2" max="2" width="23.710937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6" x14ac:dyDescent="0.45">
      <c r="B1" s="1" t="s">
        <v>9</v>
      </c>
    </row>
    <row r="2" spans="2:16" ht="23.25" thickBot="1" x14ac:dyDescent="0.5"/>
    <row r="3" spans="2:16" ht="23.25" thickBot="1" x14ac:dyDescent="0.5">
      <c r="B3" s="14" t="s">
        <v>0</v>
      </c>
      <c r="C3" s="15">
        <v>1</v>
      </c>
      <c r="E3" s="1" t="s">
        <v>11</v>
      </c>
      <c r="O3" s="1" t="s">
        <v>20</v>
      </c>
    </row>
    <row r="4" spans="2:16" ht="23.25" thickBot="1" x14ac:dyDescent="0.5">
      <c r="P4" s="1" t="s">
        <v>21</v>
      </c>
    </row>
    <row r="5" spans="2:16" ht="23.25" thickBot="1" x14ac:dyDescent="0.5">
      <c r="B5" s="6" t="s">
        <v>6</v>
      </c>
      <c r="C5" s="7">
        <v>24</v>
      </c>
      <c r="E5" s="14" t="s">
        <v>12</v>
      </c>
      <c r="F5" s="20"/>
      <c r="G5" s="19"/>
      <c r="H5" s="19"/>
      <c r="I5" s="23"/>
      <c r="J5" s="23"/>
      <c r="K5" s="23"/>
      <c r="L5" s="23"/>
      <c r="M5" s="18"/>
      <c r="P5" s="1" t="s">
        <v>22</v>
      </c>
    </row>
    <row r="6" spans="2:16" ht="23.25" thickBot="1" x14ac:dyDescent="0.5">
      <c r="B6" s="8" t="s">
        <v>5</v>
      </c>
      <c r="C6" s="9">
        <v>6</v>
      </c>
    </row>
    <row r="7" spans="2:16" ht="23.25" thickBot="1" x14ac:dyDescent="0.5">
      <c r="B7" s="10" t="s">
        <v>7</v>
      </c>
      <c r="C7" s="11">
        <v>14000</v>
      </c>
      <c r="E7" s="17" t="s">
        <v>13</v>
      </c>
      <c r="F7" s="20"/>
      <c r="G7" s="19"/>
      <c r="H7" s="19"/>
      <c r="I7" s="19"/>
      <c r="J7" s="19"/>
      <c r="K7" s="23"/>
      <c r="L7" s="23"/>
      <c r="M7" s="18"/>
      <c r="P7" s="1" t="s">
        <v>23</v>
      </c>
    </row>
    <row r="8" spans="2:16" ht="23.25" thickBot="1" x14ac:dyDescent="0.5"/>
    <row r="9" spans="2:16" ht="23.25" thickBot="1" x14ac:dyDescent="0.5">
      <c r="B9" s="6" t="s">
        <v>1</v>
      </c>
      <c r="C9" s="12">
        <v>100</v>
      </c>
      <c r="E9" s="17" t="s">
        <v>14</v>
      </c>
      <c r="F9" s="20"/>
      <c r="G9" s="19"/>
      <c r="H9" s="19"/>
      <c r="I9" s="19"/>
      <c r="J9" s="19"/>
      <c r="K9" s="19"/>
      <c r="L9" s="23"/>
      <c r="M9" s="18"/>
      <c r="P9" s="1" t="s">
        <v>24</v>
      </c>
    </row>
    <row r="10" spans="2:16" ht="23.25" thickBot="1" x14ac:dyDescent="0.5">
      <c r="B10" s="8" t="s">
        <v>3</v>
      </c>
      <c r="C10" s="13">
        <v>0</v>
      </c>
    </row>
    <row r="11" spans="2:16" ht="23.25" thickBot="1" x14ac:dyDescent="0.5">
      <c r="B11" s="8" t="s">
        <v>4</v>
      </c>
      <c r="C11" s="21" t="s">
        <v>8</v>
      </c>
      <c r="E11" s="17" t="s">
        <v>15</v>
      </c>
      <c r="F11" s="20"/>
      <c r="G11" s="19"/>
      <c r="H11" s="19"/>
      <c r="I11" s="19"/>
      <c r="J11" s="23"/>
      <c r="K11" s="23"/>
      <c r="L11" s="23"/>
      <c r="M11" s="18"/>
      <c r="P11" s="1" t="s">
        <v>25</v>
      </c>
    </row>
    <row r="12" spans="2:16" ht="23.25" thickBot="1" x14ac:dyDescent="0.5">
      <c r="B12" s="8" t="s">
        <v>2</v>
      </c>
      <c r="C12" s="16">
        <v>10000</v>
      </c>
    </row>
    <row r="13" spans="2:16" ht="23.25" thickBot="1" x14ac:dyDescent="0.5">
      <c r="B13" s="8" t="s">
        <v>16</v>
      </c>
      <c r="C13" s="22" t="s">
        <v>17</v>
      </c>
      <c r="E13" s="14" t="s">
        <v>18</v>
      </c>
      <c r="F13" s="20"/>
      <c r="G13" s="23"/>
      <c r="H13" s="23"/>
      <c r="I13" s="23"/>
      <c r="J13" s="23"/>
      <c r="K13" s="23"/>
      <c r="L13" s="23"/>
      <c r="M13" s="18"/>
      <c r="P13" s="1" t="s">
        <v>27</v>
      </c>
    </row>
    <row r="14" spans="2:16" ht="23.25" thickBot="1" x14ac:dyDescent="0.5"/>
    <row r="15" spans="2:16" ht="23.25" thickBot="1" x14ac:dyDescent="0.5">
      <c r="B15" s="24" t="s">
        <v>10</v>
      </c>
      <c r="C15" s="25"/>
      <c r="E15" s="17" t="s">
        <v>19</v>
      </c>
      <c r="F15" s="20"/>
      <c r="G15" s="19"/>
      <c r="H15" s="19"/>
      <c r="I15" s="19"/>
      <c r="J15" s="19"/>
      <c r="K15" s="19"/>
      <c r="L15" s="23"/>
      <c r="M15" s="18"/>
      <c r="P15" s="1" t="s">
        <v>29</v>
      </c>
    </row>
    <row r="16" spans="2:16" ht="23.25" thickBot="1" x14ac:dyDescent="0.5">
      <c r="B16" s="24" t="s">
        <v>28</v>
      </c>
      <c r="C16" s="25"/>
    </row>
    <row r="17" spans="2:13" ht="23.25" thickBot="1" x14ac:dyDescent="0.5">
      <c r="B17" s="2" t="s">
        <v>30</v>
      </c>
      <c r="C17" s="3"/>
      <c r="E17" s="14" t="s">
        <v>26</v>
      </c>
      <c r="F17" s="20"/>
      <c r="G17" s="19"/>
      <c r="H17" s="19"/>
      <c r="I17" s="19"/>
      <c r="J17" s="23"/>
      <c r="K17" s="23"/>
      <c r="L17" s="23"/>
      <c r="M17" s="18"/>
    </row>
    <row r="18" spans="2:13" ht="23.25" thickBot="1" x14ac:dyDescent="0.5">
      <c r="B18" s="2"/>
      <c r="C18" s="3"/>
    </row>
    <row r="19" spans="2:13" ht="23.25" thickBot="1" x14ac:dyDescent="0.5">
      <c r="B19" s="2"/>
      <c r="C19" s="3"/>
      <c r="E19" s="14" t="s">
        <v>32</v>
      </c>
      <c r="F19" s="20"/>
      <c r="G19" s="19"/>
      <c r="H19" s="19"/>
      <c r="I19" s="23"/>
      <c r="J19" s="23"/>
      <c r="K19" s="23"/>
      <c r="L19" s="23"/>
      <c r="M19" s="18"/>
    </row>
    <row r="20" spans="2:13" ht="23.25" thickBot="1" x14ac:dyDescent="0.5">
      <c r="B20" s="2"/>
      <c r="C20" s="3"/>
    </row>
    <row r="21" spans="2:13" ht="23.25" thickBot="1" x14ac:dyDescent="0.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C65E-5EC8-0E4B-BE0C-E9143BF7986B}">
  <sheetPr codeName="Sheet2"/>
  <dimension ref="B1:N25"/>
  <sheetViews>
    <sheetView tabSelected="1" workbookViewId="0">
      <selection activeCell="E19" sqref="E19"/>
    </sheetView>
  </sheetViews>
  <sheetFormatPr defaultColWidth="9.140625" defaultRowHeight="22.5" x14ac:dyDescent="0.45"/>
  <cols>
    <col min="1" max="1" width="9.140625" style="1"/>
    <col min="2" max="2" width="22.2851562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4" x14ac:dyDescent="0.45">
      <c r="B1" s="1" t="s">
        <v>91</v>
      </c>
      <c r="D1" s="1" t="s">
        <v>92</v>
      </c>
    </row>
    <row r="2" spans="2:14" ht="23.25" thickBot="1" x14ac:dyDescent="0.5"/>
    <row r="3" spans="2:14" ht="23.25" thickBot="1" x14ac:dyDescent="0.5">
      <c r="B3" s="14" t="s">
        <v>0</v>
      </c>
      <c r="C3" s="15">
        <v>1</v>
      </c>
      <c r="E3" s="1" t="s">
        <v>11</v>
      </c>
      <c r="N3" s="1" t="s">
        <v>33</v>
      </c>
    </row>
    <row r="4" spans="2:14" ht="23.25" thickBot="1" x14ac:dyDescent="0.5"/>
    <row r="5" spans="2:14" ht="23.25" thickBot="1" x14ac:dyDescent="0.5">
      <c r="B5" s="6" t="s">
        <v>6</v>
      </c>
      <c r="C5" s="7">
        <v>18</v>
      </c>
      <c r="E5" s="14" t="s">
        <v>12</v>
      </c>
      <c r="F5" s="27" t="str">
        <f>IF(N5&gt;=1," ","-")</f>
        <v>-</v>
      </c>
      <c r="G5" s="28" t="str">
        <f>IF(N5&gt;=2," ","-")</f>
        <v>-</v>
      </c>
      <c r="H5" s="28" t="str">
        <f>IF(N5&gt;=3," ","-")</f>
        <v>-</v>
      </c>
      <c r="I5" s="23" t="str">
        <f>IF(N5&gt;=4," ","-")</f>
        <v>-</v>
      </c>
      <c r="J5" s="23" t="str">
        <f>IF(N5&gt;=5," ","-")</f>
        <v>-</v>
      </c>
      <c r="K5" s="23" t="str">
        <f>IF(N5&gt;=6," ","-")</f>
        <v>-</v>
      </c>
      <c r="L5" s="23" t="str">
        <f>IF(N5&gt;=7," ","-")</f>
        <v>-</v>
      </c>
      <c r="M5" s="18" t="str">
        <f>IF(N5&gt;=8," ","-")</f>
        <v>-</v>
      </c>
      <c r="N5" s="1">
        <v>0</v>
      </c>
    </row>
    <row r="6" spans="2:14" ht="23.25" thickBot="1" x14ac:dyDescent="0.5">
      <c r="B6" s="8" t="s">
        <v>5</v>
      </c>
      <c r="C6" s="9">
        <v>8</v>
      </c>
    </row>
    <row r="7" spans="2:14" ht="23.25" thickBot="1" x14ac:dyDescent="0.5">
      <c r="B7" s="10" t="s">
        <v>7</v>
      </c>
      <c r="C7" s="29">
        <v>5000</v>
      </c>
      <c r="E7" s="17" t="s">
        <v>13</v>
      </c>
      <c r="F7" s="27" t="str">
        <f>IF(N7&gt;=1," ","-")</f>
        <v>-</v>
      </c>
      <c r="G7" s="28" t="str">
        <f>IF(N7&gt;=2," ","-")</f>
        <v>-</v>
      </c>
      <c r="H7" s="28" t="str">
        <f>IF(N7&gt;=3," ","-")</f>
        <v>-</v>
      </c>
      <c r="I7" s="28" t="str">
        <f>IF(N7&gt;=4," ","-")</f>
        <v>-</v>
      </c>
      <c r="J7" s="28" t="str">
        <f>IF(N7&gt;=5," ","-")</f>
        <v>-</v>
      </c>
      <c r="K7" s="23" t="str">
        <f>IF(N7&gt;=6," ","-")</f>
        <v>-</v>
      </c>
      <c r="L7" s="23" t="str">
        <f>IF(N7&gt;=7," ","-")</f>
        <v>-</v>
      </c>
      <c r="M7" s="18" t="str">
        <f>IF(N7&gt;=8," ","-")</f>
        <v>-</v>
      </c>
      <c r="N7" s="1">
        <v>0</v>
      </c>
    </row>
    <row r="8" spans="2:14" ht="23.25" thickBot="1" x14ac:dyDescent="0.5"/>
    <row r="9" spans="2:14" ht="23.25" thickBot="1" x14ac:dyDescent="0.5">
      <c r="B9" s="6" t="s">
        <v>1</v>
      </c>
      <c r="C9" s="12">
        <v>100</v>
      </c>
      <c r="E9" s="17" t="s">
        <v>14</v>
      </c>
      <c r="F9" s="27" t="str">
        <f>IF(N9&gt;=1," ","-")</f>
        <v>-</v>
      </c>
      <c r="G9" s="28" t="str">
        <f>IF(N9&gt;=2," ","-")</f>
        <v>-</v>
      </c>
      <c r="H9" s="28" t="str">
        <f>IF(N9&gt;=3," ","-")</f>
        <v>-</v>
      </c>
      <c r="I9" s="28" t="str">
        <f>IF(N9&gt;=4," ","-")</f>
        <v>-</v>
      </c>
      <c r="J9" s="28" t="str">
        <f>IF(N9&gt;=5," ","-")</f>
        <v>-</v>
      </c>
      <c r="K9" s="28" t="str">
        <f>IF(N9&gt;=6," ","-")</f>
        <v>-</v>
      </c>
      <c r="L9" s="23" t="str">
        <f>IF(N9&gt;=7," ","-")</f>
        <v>-</v>
      </c>
      <c r="M9" s="18" t="str">
        <f>IF(N9&gt;=8," ","-")</f>
        <v>-</v>
      </c>
      <c r="N9" s="1">
        <v>0</v>
      </c>
    </row>
    <row r="10" spans="2:14" ht="23.25" thickBot="1" x14ac:dyDescent="0.5">
      <c r="B10" s="8" t="s">
        <v>3</v>
      </c>
      <c r="C10" s="13">
        <v>0</v>
      </c>
    </row>
    <row r="11" spans="2:14" ht="23.25" thickBot="1" x14ac:dyDescent="0.5">
      <c r="B11" s="8" t="s">
        <v>4</v>
      </c>
      <c r="C11" s="21" t="s">
        <v>40</v>
      </c>
      <c r="E11" s="17" t="s">
        <v>34</v>
      </c>
      <c r="F11" s="27" t="str">
        <f>IF(N11&gt;=1," ","-")</f>
        <v>-</v>
      </c>
      <c r="G11" s="28" t="str">
        <f>IF(N11&gt;=2," ","-")</f>
        <v>-</v>
      </c>
      <c r="H11" s="28" t="str">
        <f>IF(N11&gt;=3," ","-")</f>
        <v>-</v>
      </c>
      <c r="I11" s="28" t="str">
        <f>IF(N11&gt;=4," ","-")</f>
        <v>-</v>
      </c>
      <c r="J11" s="23" t="str">
        <f>IF(N11&gt;=5," ","-")</f>
        <v>-</v>
      </c>
      <c r="K11" s="23" t="str">
        <f>IF(N11&gt;=6," ","-")</f>
        <v>-</v>
      </c>
      <c r="L11" s="23" t="str">
        <f>IF(N11&gt;=7," ","-")</f>
        <v>-</v>
      </c>
      <c r="M11" s="18" t="str">
        <f>IF(N11&gt;=8," ","-")</f>
        <v>-</v>
      </c>
      <c r="N11" s="1">
        <v>0</v>
      </c>
    </row>
    <row r="12" spans="2:14" ht="23.25" thickBot="1" x14ac:dyDescent="0.5">
      <c r="B12" s="8" t="s">
        <v>2</v>
      </c>
      <c r="C12" s="38">
        <v>10000</v>
      </c>
    </row>
    <row r="13" spans="2:14" ht="23.25" thickBot="1" x14ac:dyDescent="0.5">
      <c r="B13" s="10" t="s">
        <v>16</v>
      </c>
      <c r="C13" s="48" t="s">
        <v>17</v>
      </c>
      <c r="E13" s="14" t="s">
        <v>19</v>
      </c>
      <c r="F13" s="27" t="str">
        <f>IF(N13&gt;=1," ","-")</f>
        <v>-</v>
      </c>
      <c r="G13" s="23" t="str">
        <f>IF(N13&gt;=2," ","-")</f>
        <v>-</v>
      </c>
      <c r="H13" s="23" t="str">
        <f>IF(N13&gt;=3," ","-")</f>
        <v>-</v>
      </c>
      <c r="I13" s="23" t="str">
        <f>IF(N13&gt;=4," ","-")</f>
        <v>-</v>
      </c>
      <c r="J13" s="23" t="str">
        <f>IF(N13&gt;=5," ","-")</f>
        <v>-</v>
      </c>
      <c r="K13" s="23" t="str">
        <f>IF(N13&gt;=6," ","-")</f>
        <v>-</v>
      </c>
      <c r="L13" s="23" t="str">
        <f>IF(N13&gt;=7," ","-")</f>
        <v>-</v>
      </c>
      <c r="M13" s="18" t="str">
        <f>IF(N13&gt;=8," ","-")</f>
        <v>-</v>
      </c>
      <c r="N13" s="1">
        <v>0</v>
      </c>
    </row>
    <row r="14" spans="2:14" ht="23.25" thickBot="1" x14ac:dyDescent="0.5"/>
    <row r="15" spans="2:14" ht="23.25" thickBot="1" x14ac:dyDescent="0.5">
      <c r="B15" s="24" t="s">
        <v>10</v>
      </c>
      <c r="C15" s="25"/>
      <c r="E15" s="14" t="s">
        <v>32</v>
      </c>
      <c r="F15" s="27" t="str">
        <f>IF(N15&gt;=1," ","-")</f>
        <v>-</v>
      </c>
      <c r="G15" s="28" t="str">
        <f>IF(N15&gt;=2," ","-")</f>
        <v>-</v>
      </c>
      <c r="H15" s="28" t="str">
        <f>IF(N15&gt;=3," ","-")</f>
        <v>-</v>
      </c>
      <c r="I15" s="28" t="str">
        <f>IF(N15&gt;=4," ","-")</f>
        <v>-</v>
      </c>
      <c r="J15" s="28" t="str">
        <f>IF(N15&gt;=5," ","-")</f>
        <v>-</v>
      </c>
      <c r="K15" s="28" t="str">
        <f>IF(N15&gt;=6," ","-")</f>
        <v>-</v>
      </c>
      <c r="L15" s="23" t="str">
        <f>IF(N15&gt;=7," ","-")</f>
        <v>-</v>
      </c>
      <c r="M15" s="18" t="str">
        <f>IF(N15&gt;=8," ","-")</f>
        <v>-</v>
      </c>
      <c r="N15" s="1">
        <v>0</v>
      </c>
    </row>
    <row r="16" spans="2:14" ht="23.25" thickBot="1" x14ac:dyDescent="0.5">
      <c r="B16" s="24"/>
      <c r="C16" s="25"/>
    </row>
    <row r="17" spans="2:13" ht="23.25" thickBot="1" x14ac:dyDescent="0.5">
      <c r="B17" s="2"/>
      <c r="C17" s="3"/>
      <c r="E17" s="14" t="s">
        <v>81</v>
      </c>
      <c r="F17" s="45" t="s">
        <v>90</v>
      </c>
      <c r="G17" s="46"/>
      <c r="H17" s="46"/>
      <c r="I17" s="46"/>
      <c r="J17" s="46"/>
      <c r="K17" s="46"/>
      <c r="L17" s="46"/>
      <c r="M17" s="47"/>
    </row>
    <row r="18" spans="2:13" x14ac:dyDescent="0.45">
      <c r="B18" s="2"/>
      <c r="C18" s="3"/>
    </row>
    <row r="19" spans="2:13" x14ac:dyDescent="0.45">
      <c r="B19" s="2"/>
      <c r="C19" s="3"/>
    </row>
    <row r="20" spans="2:13" x14ac:dyDescent="0.45">
      <c r="B20" s="2"/>
      <c r="C20" s="3"/>
    </row>
    <row r="21" spans="2:13" ht="23.25" thickBot="1" x14ac:dyDescent="0.5">
      <c r="B21" s="4"/>
      <c r="C21" s="5"/>
    </row>
    <row r="25" spans="2:13" x14ac:dyDescent="0.45">
      <c r="B25" s="43"/>
    </row>
  </sheetData>
  <mergeCells count="1">
    <mergeCell ref="F17:M17"/>
  </mergeCells>
  <conditionalFormatting sqref="F5:M15">
    <cfRule type="containsText" dxfId="19" priority="22" operator="containsText" text=" ">
      <formula>NOT(ISERROR(SEARCH(" ",F5)))</formula>
    </cfRule>
  </conditionalFormatting>
  <conditionalFormatting sqref="C11">
    <cfRule type="containsText" dxfId="18" priority="16" operator="containsText" text="F">
      <formula>NOT(ISERROR(SEARCH("F",C11)))</formula>
    </cfRule>
    <cfRule type="containsText" dxfId="17" priority="17" operator="containsText" text="D">
      <formula>NOT(ISERROR(SEARCH("D",C11)))</formula>
    </cfRule>
    <cfRule type="containsText" dxfId="16" priority="18" operator="containsText" text="C">
      <formula>NOT(ISERROR(SEARCH("C",C11)))</formula>
    </cfRule>
    <cfRule type="containsText" dxfId="15" priority="19" operator="containsText" text="B">
      <formula>NOT(ISERROR(SEARCH("B",C11)))</formula>
    </cfRule>
    <cfRule type="containsText" dxfId="14" priority="20" operator="containsText" text="A">
      <formula>NOT(ISERROR(SEARCH("A",C11)))</formula>
    </cfRule>
  </conditionalFormatting>
  <conditionalFormatting sqref="C9">
    <cfRule type="cellIs" dxfId="13" priority="10" operator="between">
      <formula>0</formula>
      <formula>0</formula>
    </cfRule>
    <cfRule type="cellIs" dxfId="12" priority="11" operator="between">
      <formula>1</formula>
      <formula>20</formula>
    </cfRule>
    <cfRule type="cellIs" dxfId="11" priority="12" operator="between">
      <formula>21</formula>
      <formula>40</formula>
    </cfRule>
    <cfRule type="cellIs" dxfId="10" priority="13" operator="between">
      <formula>41</formula>
      <formula>60</formula>
    </cfRule>
    <cfRule type="cellIs" dxfId="9" priority="14" operator="between">
      <formula>61</formula>
      <formula>80</formula>
    </cfRule>
    <cfRule type="cellIs" dxfId="8" priority="15" operator="between">
      <formula>81</formula>
      <formula>100</formula>
    </cfRule>
  </conditionalFormatting>
  <conditionalFormatting sqref="C10">
    <cfRule type="cellIs" dxfId="7" priority="4" operator="between">
      <formula>100</formula>
      <formula>100</formula>
    </cfRule>
    <cfRule type="cellIs" dxfId="6" priority="5" operator="between">
      <formula>80</formula>
      <formula>99</formula>
    </cfRule>
    <cfRule type="cellIs" dxfId="5" priority="6" operator="between">
      <formula>60</formula>
      <formula>79</formula>
    </cfRule>
    <cfRule type="cellIs" dxfId="4" priority="7" operator="between">
      <formula>40</formula>
      <formula>59</formula>
    </cfRule>
    <cfRule type="cellIs" dxfId="3" priority="8" operator="between">
      <formula>20</formula>
      <formula>39</formula>
    </cfRule>
    <cfRule type="cellIs" dxfId="2" priority="9" operator="between">
      <formula>0</formula>
      <formula>19</formula>
    </cfRule>
  </conditionalFormatting>
  <conditionalFormatting sqref="F17:M17">
    <cfRule type="containsText" dxfId="1" priority="1" operator="containsText" text="Enter amount">
      <formula>NOT(ISERROR(SEARCH("Enter amount",F17)))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subSleep">
                <anchor moveWithCells="1" sizeWithCells="1">
                  <from>
                    <xdr:col>14</xdr:col>
                    <xdr:colOff>371475</xdr:colOff>
                    <xdr:row>3</xdr:row>
                    <xdr:rowOff>266700</xdr:rowOff>
                  </from>
                  <to>
                    <xdr:col>14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addSleep">
                <anchor moveWithCells="1" sizeWithCells="1">
                  <from>
                    <xdr:col>14</xdr:col>
                    <xdr:colOff>47625</xdr:colOff>
                    <xdr:row>3</xdr:row>
                    <xdr:rowOff>266700</xdr:rowOff>
                  </from>
                  <to>
                    <xdr:col>14</xdr:col>
                    <xdr:colOff>371475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ubFood">
                <anchor moveWithCells="1" sizeWithCells="1">
                  <from>
                    <xdr:col>14</xdr:col>
                    <xdr:colOff>352425</xdr:colOff>
                    <xdr:row>5</xdr:row>
                    <xdr:rowOff>266700</xdr:rowOff>
                  </from>
                  <to>
                    <xdr:col>14</xdr:col>
                    <xdr:colOff>676275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addFood">
                <anchor moveWithCells="1" sizeWithCells="1">
                  <from>
                    <xdr:col>14</xdr:col>
                    <xdr:colOff>38100</xdr:colOff>
                    <xdr:row>5</xdr:row>
                    <xdr:rowOff>266700</xdr:rowOff>
                  </from>
                  <to>
                    <xdr:col>14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subClasswork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14</xdr:col>
                    <xdr:colOff>676275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Button 29">
              <controlPr defaultSize="0" print="0" autoFill="0" autoPict="0" macro="[0]!addClasswork">
                <anchor moveWithCells="1" sizeWithCells="1">
                  <from>
                    <xdr:col>14</xdr:col>
                    <xdr:colOff>38100</xdr:colOff>
                    <xdr:row>8</xdr:row>
                    <xdr:rowOff>0</xdr:rowOff>
                  </from>
                  <to>
                    <xdr:col>14</xdr:col>
                    <xdr:colOff>352425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Button 30">
              <controlPr defaultSize="0" print="0" autoFill="0" autoPict="0" macro="[0]!subFriends">
                <anchor moveWithCells="1" sizeWithCells="1">
                  <from>
                    <xdr:col>14</xdr:col>
                    <xdr:colOff>352425</xdr:colOff>
                    <xdr:row>10</xdr:row>
                    <xdr:rowOff>0</xdr:rowOff>
                  </from>
                  <to>
                    <xdr:col>14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1" name="Button 31">
              <controlPr defaultSize="0" print="0" autoFill="0" autoPict="0" macro="[0]!addFriends">
                <anchor moveWithCells="1" sizeWithCells="1">
                  <from>
                    <xdr:col>14</xdr:col>
                    <xdr:colOff>38100</xdr:colOff>
                    <xdr:row>10</xdr:row>
                    <xdr:rowOff>0</xdr:rowOff>
                  </from>
                  <to>
                    <xdr:col>14</xdr:col>
                    <xdr:colOff>352425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2" name="Button 32">
              <controlPr defaultSize="0" print="0" autoFill="0" autoPict="0" macro="[0]!subWork">
                <anchor moveWithCells="1" sizeWithCells="1">
                  <from>
                    <xdr:col>14</xdr:col>
                    <xdr:colOff>352425</xdr:colOff>
                    <xdr:row>11</xdr:row>
                    <xdr:rowOff>266700</xdr:rowOff>
                  </from>
                  <to>
                    <xdr:col>14</xdr:col>
                    <xdr:colOff>676275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Button 33">
              <controlPr defaultSize="0" print="0" autoFill="0" autoPict="0" macro="[0]!addWork">
                <anchor moveWithCells="1" sizeWithCells="1">
                  <from>
                    <xdr:col>14</xdr:col>
                    <xdr:colOff>38100</xdr:colOff>
                    <xdr:row>11</xdr:row>
                    <xdr:rowOff>266700</xdr:rowOff>
                  </from>
                  <to>
                    <xdr:col>14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4" name="Button 34">
              <controlPr defaultSize="0" print="0" autoFill="0" autoPict="0" macro="[0]!subExercise">
                <anchor moveWithCells="1" sizeWithCells="1">
                  <from>
                    <xdr:col>14</xdr:col>
                    <xdr:colOff>352425</xdr:colOff>
                    <xdr:row>14</xdr:row>
                    <xdr:rowOff>0</xdr:rowOff>
                  </from>
                  <to>
                    <xdr:col>14</xdr:col>
                    <xdr:colOff>676275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5" name="Button 35">
              <controlPr defaultSize="0" print="0" autoFill="0" autoPict="0" macro="[0]!addExercise">
                <anchor moveWithCells="1" sizeWithCells="1">
                  <from>
                    <xdr:col>14</xdr:col>
                    <xdr:colOff>38100</xdr:colOff>
                    <xdr:row>14</xdr:row>
                    <xdr:rowOff>0</xdr:rowOff>
                  </from>
                  <to>
                    <xdr:col>14</xdr:col>
                    <xdr:colOff>352425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Button 42">
              <controlPr defaultSize="0" print="0" autoFill="0" autoPict="0" macro="[0]!reset">
                <anchor moveWithCells="1" sizeWithCells="1">
                  <from>
                    <xdr:col>13</xdr:col>
                    <xdr:colOff>685800</xdr:colOff>
                    <xdr:row>2</xdr:row>
                    <xdr:rowOff>0</xdr:rowOff>
                  </from>
                  <to>
                    <xdr:col>15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Button 43">
              <controlPr defaultSize="0" print="0" autoFill="0" autoPict="0" macro="[0]!completeWeek">
                <anchor moveWithCells="1" sizeWithCells="1">
                  <from>
                    <xdr:col>13</xdr:col>
                    <xdr:colOff>257175</xdr:colOff>
                    <xdr:row>15</xdr:row>
                    <xdr:rowOff>238125</xdr:rowOff>
                  </from>
                  <to>
                    <xdr:col>15</xdr:col>
                    <xdr:colOff>381000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Button 44">
              <controlPr defaultSize="0" print="0" autoFill="0" autoPict="0" macro="[0]!_xludf.Restart">
                <anchor moveWithCells="1" sizeWithCells="1">
                  <from>
                    <xdr:col>1</xdr:col>
                    <xdr:colOff>1000125</xdr:colOff>
                    <xdr:row>22</xdr:row>
                    <xdr:rowOff>85725</xdr:rowOff>
                  </from>
                  <to>
                    <xdr:col>2</xdr:col>
                    <xdr:colOff>723900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006F8A21-CF7E-7142-AF0F-002A0894EAF5}">
            <xm:f>NOT(ISERROR(SEARCH("-",F5)))</xm:f>
            <xm:f>"-"</xm:f>
            <x14:dxf>
              <font>
                <color theme="0"/>
              </font>
            </x14:dxf>
          </x14:cfRule>
          <xm:sqref>F5:M15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721C-73B4-594B-B2D2-B5C13E179983}">
  <sheetPr codeName="Sheet3"/>
  <dimension ref="B1:K27"/>
  <sheetViews>
    <sheetView zoomScale="92" zoomScaleNormal="100" workbookViewId="0">
      <selection activeCell="A8" sqref="A8"/>
    </sheetView>
  </sheetViews>
  <sheetFormatPr defaultColWidth="11.42578125" defaultRowHeight="15" x14ac:dyDescent="0.25"/>
  <cols>
    <col min="2" max="2" width="22" customWidth="1"/>
    <col min="3" max="3" width="23.42578125" customWidth="1"/>
    <col min="4" max="4" width="20.28515625" customWidth="1"/>
    <col min="5" max="5" width="21.7109375" customWidth="1"/>
    <col min="6" max="6" width="28.85546875" customWidth="1"/>
    <col min="7" max="7" width="22.28515625" customWidth="1"/>
    <col min="8" max="8" width="24.28515625" customWidth="1"/>
    <col min="9" max="9" width="19.28515625" customWidth="1"/>
  </cols>
  <sheetData>
    <row r="1" spans="2:11" ht="15.75" thickBot="1" x14ac:dyDescent="0.3"/>
    <row r="2" spans="2:11" ht="23.25" thickBot="1" x14ac:dyDescent="0.5">
      <c r="B2" s="31" t="s">
        <v>53</v>
      </c>
      <c r="C2" s="33" t="s">
        <v>37</v>
      </c>
      <c r="D2" s="33" t="s">
        <v>82</v>
      </c>
      <c r="E2" s="33" t="s">
        <v>86</v>
      </c>
      <c r="H2" s="31" t="s">
        <v>56</v>
      </c>
      <c r="I2" s="33" t="s">
        <v>55</v>
      </c>
      <c r="J2" s="32" t="s">
        <v>39</v>
      </c>
      <c r="K2" s="32" t="s">
        <v>36</v>
      </c>
    </row>
    <row r="3" spans="2:11" ht="23.25" thickBot="1" x14ac:dyDescent="0.5">
      <c r="B3" s="31" t="s">
        <v>35</v>
      </c>
      <c r="C3" s="31">
        <v>200</v>
      </c>
      <c r="D3" s="31">
        <v>1.5</v>
      </c>
      <c r="E3" s="31">
        <v>500</v>
      </c>
      <c r="H3" s="31" t="s">
        <v>4</v>
      </c>
      <c r="I3" s="31">
        <v>8</v>
      </c>
      <c r="J3" s="31" t="s">
        <v>8</v>
      </c>
      <c r="K3" s="31">
        <v>8</v>
      </c>
    </row>
    <row r="4" spans="2:11" ht="23.25" thickBot="1" x14ac:dyDescent="0.5">
      <c r="I4" s="33" t="s">
        <v>54</v>
      </c>
      <c r="J4" s="31" t="s">
        <v>40</v>
      </c>
      <c r="K4" s="31">
        <v>7.5</v>
      </c>
    </row>
    <row r="5" spans="2:11" ht="23.25" thickBot="1" x14ac:dyDescent="0.5">
      <c r="I5" s="31">
        <v>8</v>
      </c>
      <c r="J5" s="31" t="s">
        <v>41</v>
      </c>
      <c r="K5" s="31">
        <v>7</v>
      </c>
    </row>
    <row r="6" spans="2:11" ht="23.25" thickBot="1" x14ac:dyDescent="0.5">
      <c r="I6" s="33" t="s">
        <v>83</v>
      </c>
      <c r="J6" s="31" t="s">
        <v>42</v>
      </c>
      <c r="K6" s="31">
        <v>6.5</v>
      </c>
    </row>
    <row r="7" spans="2:11" ht="23.25" thickBot="1" x14ac:dyDescent="0.5">
      <c r="B7" s="31" t="s">
        <v>79</v>
      </c>
      <c r="C7" s="33" t="s">
        <v>38</v>
      </c>
      <c r="D7" s="33" t="s">
        <v>68</v>
      </c>
      <c r="E7" s="33" t="s">
        <v>69</v>
      </c>
      <c r="F7" s="37" t="s">
        <v>70</v>
      </c>
      <c r="G7" s="34" t="s">
        <v>73</v>
      </c>
      <c r="I7" s="31">
        <v>1.5</v>
      </c>
      <c r="J7" s="31" t="s">
        <v>43</v>
      </c>
      <c r="K7" s="31">
        <v>6</v>
      </c>
    </row>
    <row r="8" spans="2:11" ht="23.25" thickBot="1" x14ac:dyDescent="0.5">
      <c r="C8" s="31">
        <v>1</v>
      </c>
      <c r="D8" s="31">
        <v>5</v>
      </c>
      <c r="E8" s="31">
        <v>5</v>
      </c>
      <c r="F8" s="31">
        <v>6</v>
      </c>
      <c r="G8" s="31">
        <v>0</v>
      </c>
      <c r="J8" s="31" t="s">
        <v>44</v>
      </c>
      <c r="K8" s="31">
        <v>5.5</v>
      </c>
    </row>
    <row r="9" spans="2:11" ht="26.25" thickBot="1" x14ac:dyDescent="0.5">
      <c r="F9" s="36" t="s">
        <v>74</v>
      </c>
      <c r="G9" s="35" t="s">
        <v>72</v>
      </c>
      <c r="J9" s="31" t="s">
        <v>45</v>
      </c>
      <c r="K9" s="31">
        <v>5</v>
      </c>
    </row>
    <row r="10" spans="2:11" ht="23.25" thickBot="1" x14ac:dyDescent="0.5">
      <c r="F10" s="31">
        <v>3</v>
      </c>
      <c r="G10" s="31">
        <v>2</v>
      </c>
      <c r="J10" s="31" t="s">
        <v>46</v>
      </c>
      <c r="K10" s="31">
        <v>4.5</v>
      </c>
    </row>
    <row r="11" spans="2:11" ht="23.25" thickBot="1" x14ac:dyDescent="0.5">
      <c r="J11" s="31" t="s">
        <v>47</v>
      </c>
      <c r="K11" s="31">
        <v>4</v>
      </c>
    </row>
    <row r="12" spans="2:11" ht="30.75" thickBot="1" x14ac:dyDescent="0.5">
      <c r="B12" s="41" t="s">
        <v>80</v>
      </c>
      <c r="C12" s="40" t="s">
        <v>52</v>
      </c>
      <c r="D12" s="39" t="s">
        <v>84</v>
      </c>
      <c r="E12" s="39" t="s">
        <v>85</v>
      </c>
      <c r="F12" s="40" t="s">
        <v>71</v>
      </c>
      <c r="G12" s="34" t="s">
        <v>76</v>
      </c>
      <c r="J12" s="31" t="s">
        <v>50</v>
      </c>
      <c r="K12" s="31">
        <v>3.5</v>
      </c>
    </row>
    <row r="13" spans="2:11" ht="23.25" thickBot="1" x14ac:dyDescent="0.5">
      <c r="C13" s="41">
        <v>100</v>
      </c>
      <c r="D13" s="41">
        <v>5</v>
      </c>
      <c r="E13" s="41">
        <v>5</v>
      </c>
      <c r="F13" s="41">
        <v>4</v>
      </c>
      <c r="G13" s="41">
        <v>60</v>
      </c>
      <c r="J13" s="31" t="s">
        <v>48</v>
      </c>
      <c r="K13" s="31">
        <v>3</v>
      </c>
    </row>
    <row r="14" spans="2:11" ht="26.25" thickBot="1" x14ac:dyDescent="0.5">
      <c r="B14" s="30"/>
      <c r="C14" s="42"/>
      <c r="D14" s="42"/>
      <c r="E14" s="42"/>
      <c r="F14" s="36" t="s">
        <v>75</v>
      </c>
      <c r="G14" s="35" t="s">
        <v>77</v>
      </c>
      <c r="J14" s="31" t="s">
        <v>51</v>
      </c>
      <c r="K14" s="31">
        <v>2.5</v>
      </c>
    </row>
    <row r="15" spans="2:11" ht="23.25" thickBot="1" x14ac:dyDescent="0.5">
      <c r="C15" s="42"/>
      <c r="D15" s="42"/>
      <c r="E15" s="42"/>
      <c r="F15" s="41">
        <v>3</v>
      </c>
      <c r="G15" s="41">
        <v>2</v>
      </c>
      <c r="J15" s="31" t="s">
        <v>49</v>
      </c>
      <c r="K15" s="31">
        <v>0</v>
      </c>
    </row>
    <row r="16" spans="2:11" ht="15.75" thickBot="1" x14ac:dyDescent="0.3"/>
    <row r="17" spans="2:10" ht="23.25" thickBot="1" x14ac:dyDescent="0.5">
      <c r="B17" s="31" t="s">
        <v>65</v>
      </c>
      <c r="C17" s="33" t="s">
        <v>64</v>
      </c>
      <c r="D17" s="33" t="s">
        <v>61</v>
      </c>
      <c r="E17" s="33" t="s">
        <v>62</v>
      </c>
    </row>
    <row r="18" spans="2:10" ht="23.25" thickBot="1" x14ac:dyDescent="0.5">
      <c r="C18" s="31" t="s">
        <v>17</v>
      </c>
      <c r="D18" s="31">
        <v>0</v>
      </c>
      <c r="E18" s="31">
        <v>19</v>
      </c>
    </row>
    <row r="19" spans="2:10" ht="30.75" thickBot="1" x14ac:dyDescent="0.5">
      <c r="C19" s="31" t="s">
        <v>58</v>
      </c>
      <c r="D19" s="31">
        <v>20</v>
      </c>
      <c r="E19" s="31">
        <v>39</v>
      </c>
      <c r="H19" s="41" t="s">
        <v>89</v>
      </c>
      <c r="I19" s="39" t="s">
        <v>87</v>
      </c>
      <c r="J19" s="39" t="s">
        <v>88</v>
      </c>
    </row>
    <row r="20" spans="2:10" ht="23.25" thickBot="1" x14ac:dyDescent="0.5">
      <c r="C20" s="31" t="s">
        <v>57</v>
      </c>
      <c r="D20" s="31">
        <v>40</v>
      </c>
      <c r="E20" s="31">
        <v>59</v>
      </c>
      <c r="I20" s="31">
        <v>100</v>
      </c>
      <c r="J20" s="31">
        <v>5</v>
      </c>
    </row>
    <row r="21" spans="2:10" ht="23.25" thickBot="1" x14ac:dyDescent="0.5">
      <c r="C21" s="31" t="s">
        <v>59</v>
      </c>
      <c r="D21" s="31">
        <v>60</v>
      </c>
      <c r="E21" s="31">
        <v>79</v>
      </c>
    </row>
    <row r="22" spans="2:10" ht="23.25" thickBot="1" x14ac:dyDescent="0.5">
      <c r="C22" s="31" t="s">
        <v>60</v>
      </c>
      <c r="D22" s="31">
        <v>80</v>
      </c>
      <c r="E22" s="31">
        <v>99</v>
      </c>
      <c r="H22" s="41" t="s">
        <v>93</v>
      </c>
      <c r="I22" s="44">
        <v>5000</v>
      </c>
    </row>
    <row r="23" spans="2:10" ht="23.25" thickBot="1" x14ac:dyDescent="0.5">
      <c r="C23" s="31" t="s">
        <v>63</v>
      </c>
      <c r="D23" s="31">
        <v>100</v>
      </c>
      <c r="E23" s="31">
        <v>100</v>
      </c>
      <c r="H23" s="41" t="s">
        <v>94</v>
      </c>
      <c r="I23" s="41">
        <v>0</v>
      </c>
    </row>
    <row r="24" spans="2:10" ht="16.5" thickBot="1" x14ac:dyDescent="0.35">
      <c r="C24" s="33" t="s">
        <v>66</v>
      </c>
      <c r="D24" s="33" t="s">
        <v>78</v>
      </c>
    </row>
    <row r="25" spans="2:10" ht="23.25" thickBot="1" x14ac:dyDescent="0.5">
      <c r="C25" s="31">
        <v>2</v>
      </c>
      <c r="D25" s="31">
        <v>0</v>
      </c>
    </row>
    <row r="26" spans="2:10" ht="16.5" thickBot="1" x14ac:dyDescent="0.35">
      <c r="C26" s="33" t="s">
        <v>67</v>
      </c>
    </row>
    <row r="27" spans="2:10" ht="23.25" thickBot="1" x14ac:dyDescent="0.5">
      <c r="C27" s="31">
        <v>0.5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 1</vt:lpstr>
      <vt:lpstr>Sheet 2</vt:lpstr>
      <vt:lpstr>Sheet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Administrator;Tooltip</dc:creator>
  <cp:lastModifiedBy>Tooltip</cp:lastModifiedBy>
  <dcterms:created xsi:type="dcterms:W3CDTF">2019-10-26T21:16:38Z</dcterms:created>
  <dcterms:modified xsi:type="dcterms:W3CDTF">2019-11-03T01:56:03Z</dcterms:modified>
</cp:coreProperties>
</file>